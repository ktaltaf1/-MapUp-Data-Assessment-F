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DCC660CD-6D11-4B99-BD1F-D8C46952DD44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16" i="16" l="1"/>
  <c r="B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D22" i="19"/>
  <c r="D13" i="19"/>
  <c r="D14" i="19"/>
  <c r="D15" i="19"/>
  <c r="D16" i="19"/>
  <c r="D17" i="19"/>
  <c r="D18" i="19"/>
  <c r="D19" i="19"/>
  <c r="D20" i="19"/>
  <c r="D21" i="19"/>
  <c r="D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D30" i="18"/>
  <c r="E30" i="18"/>
  <c r="F30" i="18"/>
  <c r="B30" i="18"/>
  <c r="C29" i="18"/>
  <c r="D29" i="18"/>
  <c r="E29" i="18"/>
  <c r="F29" i="18"/>
  <c r="B29" i="18"/>
  <c r="D28" i="18"/>
  <c r="E28" i="18"/>
  <c r="F28" i="18"/>
  <c r="C28" i="18"/>
  <c r="B28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<sst xmlns="http://schemas.openxmlformats.org/spreadsheetml/2006/main" count="324" uniqueCount="179">
  <si>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</si>
  <si>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</si>
  <si>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</si>
  <si>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</si>
  <si>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</si>
  <si>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</si>
  <si>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</si>
  <si>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</si>
  <si>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</si>
  <si>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</si>
  <si>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</si>
  <si>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</si>
  <si>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</si>
  <si>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</si>
  <si>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</si>
  <si>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</si>
  <si>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</si>
  <si>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</si>
  <si>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</si>
  <si>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</si>
  <si>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</si>
  <si>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</si>
  <si>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</si>
  <si>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</si>
  <si>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</si>
  <si>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</si>
  <si>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</si>
  <si>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</si>
  <si>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</si>
  <si>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</si>
  <si>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</si>
  <si>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</si>
  <si>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</si>
  <si>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</si>
  <si>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</si>
  <si>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</si>
  <si>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</si>
  <si>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</si>
  <si>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</si>
  <si>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</si>
  <si>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</si>
  <si>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</si>
  <si>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</si>
  <si>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</si>
  <si>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</si>
  <si>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</si>
  <si>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</si>
  <si>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</si>
  <si>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</si>
  <si>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</si>
  <si>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</si>
  <si>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</si>
  <si>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</si>
  <si>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</si>
  <si>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</si>
  <si>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</si>
  <si>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</si>
  <si>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</si>
  <si>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</si>
  <si>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</si>
  <si>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</si>
  <si>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</si>
  <si>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</si>
  <si>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</si>
  <si>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</si>
  <si>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</si>
  <si>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</si>
  <si>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</si>
  <si>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</si>
  <si>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</si>
  <si>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</si>
  <si>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</si>
  <si>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</si>
  <si>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</si>
  <si>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</si>
  <si>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</si>
  <si>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</si>
  <si>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</si>
  <si>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</si>
  <si>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</si>
  <si>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</si>
  <si>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</si>
  <si>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</si>
  <si>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</si>
  <si>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</si>
  <si>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</si>
  <si>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</si>
  <si>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</si>
  <si>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</si>
  <si>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</si>
  <si>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</si>
  <si>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</si>
  <si>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</si>
  <si>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</si>
  <si>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</si>
  <si>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</si>
  <si>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</si>
  <si>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</si>
  <si>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</si>
  <si>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</si>
  <si>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</si>
  <si>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</si>
  <si>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</si>
  <si>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</si>
  <si>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</si>
  <si>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</si>
  <si>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</si>
  <si>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</si>
  <si>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</si>
  <si>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</si>
  <si>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</si>
  <si>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</si>
  <si>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</si>
  <si>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</si>
  <si>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</si>
  <si>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</si>
  <si>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</si>
  <si>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</si>
  <si>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</si>
  <si>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</si>
  <si>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</si>
  <si>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</si>
  <si>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</si>
  <si>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</si>
  <si>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</si>
  <si>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</si>
  <si>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</si>
  <si>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</si>
  <si>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</si>
  <si>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</si>
  <si>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</si>
  <si>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</si>
  <si>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</si>
  <si>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</si>
  <si>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</si>
  <si>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</si>
  <si>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</si>
  <si>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</si>
  <si>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</si>
  <si>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</si>
  <si>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</si>
  <si>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</si>
  <si>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</si>
  <si>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</si>
  <si>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</si>
  <si>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</si>
  <si>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</si>
  <si>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</si>
  <si>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</si>
  <si>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</si>
  <si>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</si>
  <si>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</si>
  <si>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</si>
  <si>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</si>
  <si>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</si>
  <si>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</si>
  <si>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</si>
  <si>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</si>
  <si>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</si>
  <si>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</si>
  <si>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</si>
  <si>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</si>
  <si>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</si>
  <si>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</si>
  <si>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</si>
  <si>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</si>
  <si>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</si>
  <si>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</si>
  <si>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</si>
  <si>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</si>
  <si>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</si>
  <si>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</si>
  <si>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</si>
  <si>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</si>
  <si>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</si>
  <si>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</si>
  <si>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</si>
  <si>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- =SUMIF(H2:H40, "&gt;20")</t>
  </si>
  <si>
    <t>formula used==LEFT(A16,5) , =MID(A16, FIND("-", A16) + 1, FIND("-", MID(A16, FIND("-", A16) + 1, LEN(A16))) - 1), =MID(A16, FIND("-", A16, FIND("-", A16) + 1) + 1, FIND("-", MID(A16, FIND("-", A16, FIND("-", A16) + 1) + 1, LEN(A16))) - 1), =LEN(A16)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</si>
</sst>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71" fontId="7" fillId="0" borderId="0" xfId="0" applyNumberFormat="1" applyFont="1"/>
    <xf numFmtId="171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9">
    <dxf>
      <font>
        <color rgb="FF92D050"/>
      </font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u val="none"/>
        <color rgb="FFFF0000"/>
      </font>
      <fill>
        <patternFill>
          <bgColor rgb="FFFF0000"/>
        </patternFill>
      </fill>
      <border>
        <vertical/>
        <horizontal/>
      </border>
    </dxf>
    <dxf>
      <font>
        <color rgb="FFFF0000"/>
      </font>
      <fill>
        <patternFill>
          <fgColor rgb="FFFF0000"/>
        </patternFill>
      </fill>
    </dxf>
    <dxf>
      <font>
        <color theme="9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"/>
      <tableStyleElement type="headerRow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Q1" zoomScaleNormal="100" workbookViewId="0">
      <pane ySplit="1" topLeftCell="A33" activePane="bottomLeft" state="frozen"/>
      <selection activeCell="L1" sqref="L1"/>
      <selection pane="bottomLeft" activeCell="Y16" sqref="Y1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7" width="12.77734375" style="1" bestFit="1" customWidth="1"/>
    <col min="8" max="8" width="21.21875" style="1" customWidth="1"/>
    <col min="9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47">
        <f>SUMIF(H2:H40, "&gt;20")</f>
        <v>1473.0000000000002</v>
      </c>
    </row>
  </sheetData>
  <conditionalFormatting sqref="A1:X40">
    <cfRule type="cellIs" dxfId="2" priority="2" operator="equal">
      <formula>-1</formula>
    </cfRule>
  </conditionalFormatting>
  <conditionalFormatting sqref="F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B1" zoomScaleNormal="100" workbookViewId="0">
      <selection activeCell="H28" sqref="H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VLOOKUP(A6,Dataset!A1:G40,7,0)</f>
        <v>2.7</v>
      </c>
      <c r="C6" s="11">
        <f>VLOOKUP(A6,Dataset!A2:N40,14,0)</f>
        <v>7.6</v>
      </c>
      <c r="D6" s="11">
        <f>VLOOKUP(A6,Dataset!A2:Q40,17,0)</f>
        <v>3.6</v>
      </c>
      <c r="E6" s="11">
        <f>VLOOKUP(A6,Dataset!A2:T40,20,0)</f>
        <v>8.9</v>
      </c>
      <c r="F6" s="8">
        <f>VLOOKUP(A6,Dataset!A2:V40,22,0)</f>
        <v>4.2</v>
      </c>
    </row>
    <row r="7" spans="1:7" ht="14.4" x14ac:dyDescent="0.3">
      <c r="A7" s="7" t="s">
        <v>4</v>
      </c>
      <c r="B7" s="11">
        <f>VLOOKUP(A7,Dataset!A2:G41,7,0)</f>
        <v>2.7</v>
      </c>
      <c r="C7" s="11">
        <f>VLOOKUP(A7,Dataset!A3:N41,14,0)</f>
        <v>7.6</v>
      </c>
      <c r="D7" s="11">
        <f>VLOOKUP(A7,Dataset!A3:Q41,17,0)</f>
        <v>3.6</v>
      </c>
      <c r="E7" s="11">
        <f>VLOOKUP(A7,Dataset!A3:T41,20,0)</f>
        <v>8.9</v>
      </c>
      <c r="F7" s="8">
        <f>VLOOKUP(A7,Dataset!A3:V41,22,0)</f>
        <v>4.2</v>
      </c>
    </row>
    <row r="8" spans="1:7" ht="14.4" x14ac:dyDescent="0.3">
      <c r="A8" s="7" t="s">
        <v>7</v>
      </c>
      <c r="B8" s="11">
        <f>VLOOKUP(A8,Dataset!A3:G42,7,0)</f>
        <v>3.6</v>
      </c>
      <c r="C8" s="11">
        <f>VLOOKUP(A8,Dataset!A4:N42,14,0)</f>
        <v>11.1</v>
      </c>
      <c r="D8" s="11">
        <f>VLOOKUP(A8,Dataset!A4:Q42,17,0)</f>
        <v>5.4</v>
      </c>
      <c r="E8" s="11">
        <f>VLOOKUP(A8,Dataset!A4:T42,20,0)</f>
        <v>12.2</v>
      </c>
      <c r="F8" s="8">
        <f>VLOOKUP(A8,Dataset!A4:V42,22,0)</f>
        <v>5.8</v>
      </c>
    </row>
    <row r="9" spans="1:7" ht="14.4" x14ac:dyDescent="0.3">
      <c r="A9" s="7" t="s">
        <v>8</v>
      </c>
      <c r="B9" s="11">
        <f>VLOOKUP(A9,Dataset!A4:G43,7,0)</f>
        <v>4.9000000000000004</v>
      </c>
      <c r="C9" s="11">
        <f>VLOOKUP(A9,Dataset!A5:N43,14,0)</f>
        <v>13.3</v>
      </c>
      <c r="D9" s="11">
        <f>VLOOKUP(A9,Dataset!A5:Q43,17,0)</f>
        <v>6.6</v>
      </c>
      <c r="E9" s="11">
        <f>VLOOKUP(A9,Dataset!A5:T43,20,0)</f>
        <v>17</v>
      </c>
      <c r="F9" s="8">
        <f>VLOOKUP(A9,Dataset!A5:V43,22,0)</f>
        <v>8.1</v>
      </c>
    </row>
    <row r="10" spans="1:7" ht="14.4" x14ac:dyDescent="0.3">
      <c r="A10" s="7" t="s">
        <v>11</v>
      </c>
      <c r="B10" s="11">
        <f>VLOOKUP(A10,Dataset!A5:G44,7,0)</f>
        <v>9.4</v>
      </c>
      <c r="C10" s="11">
        <f>VLOOKUP(A10,Dataset!A6:N44,14,0)</f>
        <v>28.3</v>
      </c>
      <c r="D10" s="11">
        <f>VLOOKUP(A10,Dataset!A6:Q44,17,0)</f>
        <v>13.8</v>
      </c>
      <c r="E10" s="11">
        <f>VLOOKUP(A10,Dataset!A6:T44,20,0)</f>
        <v>32.799999999999997</v>
      </c>
      <c r="F10" s="8">
        <f>VLOOKUP(A10,Dataset!A6:V44,22,0)</f>
        <v>16.100000000000001</v>
      </c>
    </row>
    <row r="11" spans="1:7" ht="14.4" x14ac:dyDescent="0.3">
      <c r="A11" s="7" t="s">
        <v>12</v>
      </c>
      <c r="B11" s="11">
        <f>VLOOKUP(A11,Dataset!A6:G45,7,0)</f>
        <v>11.6</v>
      </c>
      <c r="C11" s="11">
        <f>VLOOKUP(A11,Dataset!A7:N45,14,0)</f>
        <v>35.200000000000003</v>
      </c>
      <c r="D11" s="11">
        <f>VLOOKUP(A11,Dataset!A7:Q45,17,0)</f>
        <v>17.3</v>
      </c>
      <c r="E11" s="11">
        <f>VLOOKUP(A11,Dataset!A7:T45,20,0)</f>
        <v>43</v>
      </c>
      <c r="F11" s="8">
        <f>VLOOKUP(A11,Dataset!A7:V45,22,0)</f>
        <v>21.3</v>
      </c>
    </row>
    <row r="12" spans="1:7" ht="14.4" x14ac:dyDescent="0.3">
      <c r="A12" s="7" t="s">
        <v>14</v>
      </c>
      <c r="B12" s="11">
        <f>VLOOKUP(A12,Dataset!A7:G46,7,0)</f>
        <v>18.399999999999999</v>
      </c>
      <c r="C12" s="11">
        <f>VLOOKUP(A12,Dataset!A8:N46,14,0)</f>
        <v>55.6</v>
      </c>
      <c r="D12" s="11">
        <f>VLOOKUP(A12,Dataset!A8:Q46,17,0)</f>
        <v>27.5</v>
      </c>
      <c r="E12" s="11">
        <f>VLOOKUP(A12,Dataset!A8:T46,20,0)</f>
        <v>67.900000000000006</v>
      </c>
      <c r="F12" s="8">
        <f>VLOOKUP(A12,Dataset!A8:V46,22,0)</f>
        <v>33.799999999999997</v>
      </c>
    </row>
    <row r="13" spans="1:7" ht="14.4" x14ac:dyDescent="0.3">
      <c r="A13" s="7" t="s">
        <v>15</v>
      </c>
      <c r="B13" s="11">
        <f>VLOOKUP(A13,Dataset!A8:G47,7,0)</f>
        <v>0</v>
      </c>
      <c r="C13" s="11">
        <f>VLOOKUP(A13,Dataset!A9:N47,14,0)</f>
        <v>0</v>
      </c>
      <c r="D13" s="11">
        <f>VLOOKUP(A13,Dataset!A9:Q47,17,0)</f>
        <v>0</v>
      </c>
      <c r="E13" s="11">
        <f>VLOOKUP(A13,Dataset!A9:T47,20,0)</f>
        <v>0</v>
      </c>
      <c r="F13" s="8">
        <f>VLOOKUP(A13,Dataset!A9:V47,22,0)</f>
        <v>0</v>
      </c>
    </row>
    <row r="14" spans="1:7" ht="14.4" x14ac:dyDescent="0.3">
      <c r="A14" s="7" t="s">
        <v>16</v>
      </c>
      <c r="B14" s="11">
        <f>VLOOKUP(A14,Dataset!A9:G48,7,0)</f>
        <v>21.9</v>
      </c>
      <c r="C14" s="11">
        <f>VLOOKUP(A14,Dataset!A10:N48,14,0)</f>
        <v>61.5</v>
      </c>
      <c r="D14" s="11">
        <f>VLOOKUP(A14,Dataset!A10:Q48,17,0)</f>
        <v>32.1</v>
      </c>
      <c r="E14" s="11">
        <f>VLOOKUP(A14,Dataset!A10:T48,20,0)</f>
        <v>76.599999999999994</v>
      </c>
      <c r="F14" s="8">
        <f>VLOOKUP(A14,Dataset!A10:V48,22,0)</f>
        <v>40.1</v>
      </c>
    </row>
    <row r="15" spans="1:7" ht="14.4" x14ac:dyDescent="0.3">
      <c r="A15" s="7" t="s">
        <v>18</v>
      </c>
      <c r="B15" s="11">
        <f>VLOOKUP(A15,Dataset!A10:G49,7,0)</f>
        <v>26.8</v>
      </c>
      <c r="C15" s="11">
        <f>VLOOKUP(A15,Dataset!A11:N49,14,0)</f>
        <v>79.599999999999994</v>
      </c>
      <c r="D15" s="11">
        <f>VLOOKUP(A15,Dataset!A11:Q49,17,0)</f>
        <v>39.299999999999997</v>
      </c>
      <c r="E15" s="11">
        <f>VLOOKUP(A15,Dataset!A11:T49,20,0)</f>
        <v>96.8</v>
      </c>
      <c r="F15" s="8">
        <f>VLOOKUP(A15,Dataset!A11:V49,22,0)</f>
        <v>47.9</v>
      </c>
    </row>
    <row r="16" spans="1:7" ht="14.4" x14ac:dyDescent="0.3">
      <c r="A16" s="7" t="s">
        <v>20</v>
      </c>
      <c r="B16" s="11">
        <f>VLOOKUP(A16,Dataset!A11:G50,7,0)</f>
        <v>28.5</v>
      </c>
      <c r="C16" s="11">
        <f>VLOOKUP(A16,Dataset!A12:N50,14,0)</f>
        <v>85.4</v>
      </c>
      <c r="D16" s="11">
        <f>VLOOKUP(A16,Dataset!A12:Q50,17,0)</f>
        <v>42.3</v>
      </c>
      <c r="E16" s="11">
        <f>VLOOKUP(A16,Dataset!A12:T50,20,0)</f>
        <v>106.1</v>
      </c>
      <c r="F16" s="8">
        <f>VLOOKUP(A16,Dataset!A12:V50,22,0)</f>
        <v>52.3</v>
      </c>
    </row>
    <row r="17" spans="1:6" ht="14.4" x14ac:dyDescent="0.3">
      <c r="A17" s="7" t="s">
        <v>22</v>
      </c>
      <c r="B17" s="11">
        <f>VLOOKUP(A17,Dataset!A12:G51,7,0)</f>
        <v>30.7</v>
      </c>
      <c r="C17" s="11">
        <f>VLOOKUP(A17,Dataset!A13:N51,14,0)</f>
        <v>92.1</v>
      </c>
      <c r="D17" s="11">
        <f>VLOOKUP(A17,Dataset!A13:Q51,17,0)</f>
        <v>45.5</v>
      </c>
      <c r="E17" s="11">
        <f>VLOOKUP(A17,Dataset!A13:T51,20,0)</f>
        <v>115.1</v>
      </c>
      <c r="F17" s="8">
        <f>VLOOKUP(A17,Dataset!A13:V51,22,0)</f>
        <v>57</v>
      </c>
    </row>
    <row r="18" spans="1:6" ht="14.4" x14ac:dyDescent="0.3">
      <c r="A18" s="7" t="s">
        <v>23</v>
      </c>
      <c r="B18" s="11">
        <f>VLOOKUP(A18,Dataset!A13:G52,7,0)</f>
        <v>33.799999999999997</v>
      </c>
      <c r="C18" s="11">
        <f>VLOOKUP(A18,Dataset!A14:N52,14,0)</f>
        <v>101.3</v>
      </c>
      <c r="D18" s="11">
        <f>VLOOKUP(A18,Dataset!A14:Q52,17,0)</f>
        <v>50.1</v>
      </c>
      <c r="E18" s="11">
        <f>VLOOKUP(A18,Dataset!A14:T52,20,0)</f>
        <v>124.4</v>
      </c>
      <c r="F18" s="8">
        <f>VLOOKUP(A18,Dataset!A14:V52,22,0)</f>
        <v>61.4</v>
      </c>
    </row>
    <row r="19" spans="1:6" ht="14.4" x14ac:dyDescent="0.3">
      <c r="A19" s="7" t="s">
        <v>24</v>
      </c>
      <c r="B19" s="11">
        <f>VLOOKUP(A19,Dataset!A14:G53,7,0)</f>
        <v>34.700000000000003</v>
      </c>
      <c r="C19" s="11">
        <f>VLOOKUP(A19,Dataset!A15:N53,14,0)</f>
        <v>106.1</v>
      </c>
      <c r="D19" s="11">
        <f>VLOOKUP(A19,Dataset!A15:Q53,17,0)</f>
        <v>52.3</v>
      </c>
      <c r="E19" s="11">
        <f>VLOOKUP(A19,Dataset!A15:T53,20,0)</f>
        <v>128.6</v>
      </c>
      <c r="F19" s="8">
        <f>VLOOKUP(A19,Dataset!A15:V53,22,0)</f>
        <v>63.6</v>
      </c>
    </row>
    <row r="20" spans="1:6" ht="14.4" x14ac:dyDescent="0.3">
      <c r="A20" s="7" t="s">
        <v>28</v>
      </c>
      <c r="B20" s="11">
        <f>VLOOKUP(A20,Dataset!A15:G54,7,0)</f>
        <v>0</v>
      </c>
      <c r="C20" s="11">
        <f>VLOOKUP(A20,Dataset!A16:N54,14,0)</f>
        <v>0</v>
      </c>
      <c r="D20" s="11">
        <f>VLOOKUP(A20,Dataset!A16:Q54,17,0)</f>
        <v>0</v>
      </c>
      <c r="E20" s="11">
        <f>VLOOKUP(A20,Dataset!A16:T54,20,0)</f>
        <v>0</v>
      </c>
      <c r="F20" s="8">
        <f>VLOOKUP(A20,Dataset!A16:V54,22,0)</f>
        <v>0</v>
      </c>
    </row>
    <row r="21" spans="1:6" ht="14.4" x14ac:dyDescent="0.3">
      <c r="A21" s="7" t="s">
        <v>57</v>
      </c>
      <c r="B21" s="11">
        <f>VLOOKUP(A21,Dataset!A16:G55,7,0)</f>
        <v>41.3</v>
      </c>
      <c r="C21" s="11">
        <f>VLOOKUP(A21,Dataset!A17:N55,14,0)</f>
        <v>124.4</v>
      </c>
      <c r="D21" s="11">
        <f>VLOOKUP(A21,Dataset!A17:Q55,17,0)</f>
        <v>61.4</v>
      </c>
      <c r="E21" s="11">
        <f>VLOOKUP(A21,Dataset!A17:T55,20,0)</f>
        <v>151.5</v>
      </c>
      <c r="F21" s="8">
        <f>VLOOKUP(A21,Dataset!A17:V55,22,0)</f>
        <v>75</v>
      </c>
    </row>
    <row r="22" spans="1:6" ht="14.4" x14ac:dyDescent="0.3">
      <c r="A22" s="7" t="s">
        <v>58</v>
      </c>
      <c r="B22" s="11">
        <f>VLOOKUP(A22,Dataset!A17:G56,7,0)</f>
        <v>-1</v>
      </c>
      <c r="C22" s="11">
        <f>VLOOKUP(A22,Dataset!A18:N56,14,0)</f>
        <v>-1</v>
      </c>
      <c r="D22" s="11">
        <f>VLOOKUP(A22,Dataset!A18:Q56,17,0)</f>
        <v>-1</v>
      </c>
      <c r="E22" s="11">
        <f>VLOOKUP(A22,Dataset!A18:T56,20,0)</f>
        <v>-1</v>
      </c>
      <c r="F22" s="8">
        <f>VLOOKUP(A22,Dataset!A18:V56,22,0)</f>
        <v>-1</v>
      </c>
    </row>
    <row r="23" spans="1:6" ht="14.4" x14ac:dyDescent="0.3">
      <c r="A23" s="7" t="s">
        <v>31</v>
      </c>
      <c r="B23" s="11">
        <f>VLOOKUP(A23,Dataset!A18:G57,7,0)</f>
        <v>45</v>
      </c>
      <c r="C23" s="11">
        <f>VLOOKUP(A23,Dataset!A19:N57,14,0)</f>
        <v>133.4</v>
      </c>
      <c r="D23" s="11">
        <f>VLOOKUP(A23,Dataset!A19:Q57,17,0)</f>
        <v>65.900000000000006</v>
      </c>
      <c r="E23" s="11">
        <f>VLOOKUP(A23,Dataset!A19:T57,20,0)</f>
        <v>160.9</v>
      </c>
      <c r="F23" s="8">
        <f>VLOOKUP(A23,Dataset!A19:V57,22,0)</f>
        <v>79.400000000000006</v>
      </c>
    </row>
    <row r="24" spans="1:6" ht="14.4" x14ac:dyDescent="0.3">
      <c r="A24" s="7" t="s">
        <v>32</v>
      </c>
      <c r="B24" s="11">
        <f>VLOOKUP(A24,Dataset!A19:G58,7,0)</f>
        <v>-1</v>
      </c>
      <c r="C24" s="11">
        <f>VLOOKUP(A24,Dataset!A20:N58,14,0)</f>
        <v>-1</v>
      </c>
      <c r="D24" s="11">
        <f>VLOOKUP(A24,Dataset!A20:Q58,17,0)</f>
        <v>-1</v>
      </c>
      <c r="E24" s="11">
        <f>VLOOKUP(A24,Dataset!A20:T58,20,0)</f>
        <v>-1</v>
      </c>
      <c r="F24" s="8">
        <f>VLOOKUP(A24,Dataset!A20:V58,22,0)</f>
        <v>-1</v>
      </c>
    </row>
    <row r="25" spans="1:6" ht="14.4" x14ac:dyDescent="0.3">
      <c r="A25" s="7" t="s">
        <v>34</v>
      </c>
      <c r="B25" s="11">
        <f>VLOOKUP(A25,Dataset!A20:G59,7,0)</f>
        <v>43.3</v>
      </c>
      <c r="C25" s="11">
        <f>VLOOKUP(A25,Dataset!A21:N59,14,0)</f>
        <v>128.6</v>
      </c>
      <c r="D25" s="11">
        <f>VLOOKUP(A25,Dataset!A21:Q59,17,0)</f>
        <v>63.6</v>
      </c>
      <c r="E25" s="11">
        <f>VLOOKUP(A25,Dataset!A21:T59,20,0)</f>
        <v>160.9</v>
      </c>
      <c r="F25" s="8">
        <f>VLOOKUP(A25,Dataset!A21:V59,22,0)</f>
        <v>79.400000000000006</v>
      </c>
    </row>
    <row r="26" spans="1:6" ht="14.4" x14ac:dyDescent="0.3">
      <c r="A26" s="7" t="s">
        <v>37</v>
      </c>
      <c r="B26" s="11">
        <f>VLOOKUP(A26,Dataset!A21:G60,7,0)</f>
        <v>49.1</v>
      </c>
      <c r="C26" s="11">
        <f>VLOOKUP(A26,Dataset!A22:N60,14,0)</f>
        <v>146.80000000000001</v>
      </c>
      <c r="D26" s="11">
        <f>VLOOKUP(A26,Dataset!A22:Q60,17,0)</f>
        <v>72.8</v>
      </c>
      <c r="E26" s="11">
        <f>VLOOKUP(A26,Dataset!A22:T60,20,0)</f>
        <v>183.5</v>
      </c>
      <c r="F26" s="8">
        <f>VLOOKUP(A26,Dataset!A22:V60,22,0)</f>
        <v>90.9</v>
      </c>
    </row>
    <row r="27" spans="1:6" ht="14.4" x14ac:dyDescent="0.3">
      <c r="A27" s="7" t="s">
        <v>39</v>
      </c>
      <c r="B27" s="11">
        <f>VLOOKUP(A27,Dataset!A22:G61,7,0)</f>
        <v>51.8</v>
      </c>
      <c r="C27" s="11">
        <f>VLOOKUP(A27,Dataset!A23:N61,14,0)</f>
        <v>156.4</v>
      </c>
      <c r="D27" s="11">
        <f>VLOOKUP(A27,Dataset!A23:Q61,17,0)</f>
        <v>77.2</v>
      </c>
      <c r="E27" s="11">
        <f>VLOOKUP(A27,Dataset!A23:T61,20,0)</f>
        <v>188.1</v>
      </c>
      <c r="F27" s="8">
        <f>VLOOKUP(A27,Dataset!A23:V61,22,0)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 t="shared" ref="D28:F28" si="0">MIN(D6:D27)</f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77.2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30.831818181818186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LEFT(A16,5)</f>
        <v>20000</v>
      </c>
      <c r="C16" s="1" t="str">
        <f t="shared" ref="C16:C54" si="0">MID(A16, FIND("-", A16) + 1, FIND("-", MID(A16, FIND("-", A16) + 1, LEN(A16))) - 1)</f>
        <v>Monday</v>
      </c>
      <c r="D16" s="11" t="str">
        <f>MID(A16, FIND("-", A16, FIND("-", A16) + 1) + 1, FIND("-", MID(A16, FIND("-", A16, FIND("-", A16) + 1) + 1, LEN(A16))) - 1)</f>
        <v>0</v>
      </c>
      <c r="E16" s="1" t="str">
        <f>MID(A16, FIND("-", A16, FIND("-", A16, FIND("-", A16) + 1) + 1) + 1, FIND("-", MID(A16, FIND("-", A16, FIND("-", A16, FIND("-", A16) + 1) + 1) + 1, LEN(A16))) - 1)</f>
        <v>Sunday</v>
      </c>
      <c r="F16" s="1">
        <f>LEN(A16)</f>
        <v>24</v>
      </c>
    </row>
    <row r="17" spans="1:6" x14ac:dyDescent="0.3">
      <c r="A17" s="7" t="s">
        <v>122</v>
      </c>
      <c r="B17" s="11" t="str">
        <f t="shared" ref="B17:B54" si="1">LEFT(A17,5)</f>
        <v>20002</v>
      </c>
      <c r="C17" s="1" t="str">
        <f t="shared" si="0"/>
        <v>Monday</v>
      </c>
      <c r="D17" s="11" t="str">
        <f t="shared" ref="D17:D54" si="2">MID(A17, FIND("-", A17, FIND("-", A17) + 1) + 1, FIND("-", MID(A17, FIND("-", A17, FIND("-", A17) + 1) + 1, LEN(A17))) - 1)</f>
        <v>0</v>
      </c>
      <c r="E17" s="1" t="str">
        <f t="shared" ref="E17:E54" si="3">MID(A17, FIND("-", A17, FIND("-", A17, FIND("-", A17) + 1) + 1) + 1, FIND("-", MID(A17, FIND("-", A17, FIND("-", A17, FIND("-", A17) + 1) + 1) + 1, LEN(A17))) - 1)</f>
        <v>Sunday</v>
      </c>
      <c r="F17" s="1">
        <f t="shared" ref="F17:F54" si="4">LEN(A17)</f>
        <v>24</v>
      </c>
    </row>
    <row r="18" spans="1:6" x14ac:dyDescent="0.3">
      <c r="A18" s="7" t="s">
        <v>123</v>
      </c>
      <c r="B18" s="11" t="str">
        <f t="shared" si="1"/>
        <v>20004</v>
      </c>
      <c r="C18" s="1" t="str">
        <f t="shared" si="0"/>
        <v>Monday</v>
      </c>
      <c r="D18" s="11" t="str">
        <f t="shared" si="2"/>
        <v>0</v>
      </c>
      <c r="E18" s="1" t="str">
        <f t="shared" si="3"/>
        <v>Sunday</v>
      </c>
      <c r="F18" s="1">
        <f t="shared" si="4"/>
        <v>24</v>
      </c>
    </row>
    <row r="19" spans="1:6" x14ac:dyDescent="0.3">
      <c r="A19" s="7" t="s">
        <v>124</v>
      </c>
      <c r="B19" s="11" t="str">
        <f t="shared" si="1"/>
        <v>20006</v>
      </c>
      <c r="C19" s="1" t="str">
        <f t="shared" si="0"/>
        <v>Monday</v>
      </c>
      <c r="D19" s="11" t="str">
        <f t="shared" si="2"/>
        <v>0</v>
      </c>
      <c r="E19" s="1" t="str">
        <f t="shared" si="3"/>
        <v>Sunday</v>
      </c>
      <c r="F19" s="1">
        <f t="shared" si="4"/>
        <v>24</v>
      </c>
    </row>
    <row r="20" spans="1:6" x14ac:dyDescent="0.3">
      <c r="A20" s="7" t="s">
        <v>125</v>
      </c>
      <c r="B20" s="11" t="str">
        <f t="shared" si="1"/>
        <v>20008</v>
      </c>
      <c r="C20" s="1" t="str">
        <f t="shared" si="0"/>
        <v>Monday</v>
      </c>
      <c r="D20" s="11" t="str">
        <f t="shared" si="2"/>
        <v>0</v>
      </c>
      <c r="E20" s="1" t="str">
        <f t="shared" si="3"/>
        <v>Sunday</v>
      </c>
      <c r="F20" s="1">
        <f t="shared" si="4"/>
        <v>24</v>
      </c>
    </row>
    <row r="21" spans="1:6" x14ac:dyDescent="0.3">
      <c r="A21" s="7" t="s">
        <v>126</v>
      </c>
      <c r="B21" s="11" t="str">
        <f t="shared" si="1"/>
        <v>20010</v>
      </c>
      <c r="C21" s="1" t="str">
        <f t="shared" si="0"/>
        <v>Monday</v>
      </c>
      <c r="D21" s="11" t="str">
        <f t="shared" si="2"/>
        <v>0</v>
      </c>
      <c r="E21" s="1" t="str">
        <f t="shared" si="3"/>
        <v>Sunday</v>
      </c>
      <c r="F21" s="1">
        <f t="shared" si="4"/>
        <v>24</v>
      </c>
    </row>
    <row r="22" spans="1:6" x14ac:dyDescent="0.3">
      <c r="A22" s="7" t="s">
        <v>127</v>
      </c>
      <c r="B22" s="11" t="str">
        <f t="shared" si="1"/>
        <v>20012</v>
      </c>
      <c r="C22" s="1" t="str">
        <f t="shared" si="0"/>
        <v>Monday</v>
      </c>
      <c r="D22" s="11" t="str">
        <f t="shared" si="2"/>
        <v>0</v>
      </c>
      <c r="E22" s="1" t="str">
        <f t="shared" si="3"/>
        <v>Sunday</v>
      </c>
      <c r="F22" s="1">
        <f t="shared" si="4"/>
        <v>24</v>
      </c>
    </row>
    <row r="23" spans="1:6" x14ac:dyDescent="0.3">
      <c r="A23" s="7" t="s">
        <v>128</v>
      </c>
      <c r="B23" s="11" t="str">
        <f t="shared" si="1"/>
        <v>20014</v>
      </c>
      <c r="C23" s="1" t="str">
        <f t="shared" si="0"/>
        <v>Monday</v>
      </c>
      <c r="D23" s="11" t="str">
        <f t="shared" si="2"/>
        <v>0</v>
      </c>
      <c r="E23" s="1" t="str">
        <f t="shared" si="3"/>
        <v>Sunday</v>
      </c>
      <c r="F23" s="1">
        <f t="shared" si="4"/>
        <v>24</v>
      </c>
    </row>
    <row r="24" spans="1:6" x14ac:dyDescent="0.3">
      <c r="A24" s="7" t="s">
        <v>129</v>
      </c>
      <c r="B24" s="11" t="str">
        <f t="shared" si="1"/>
        <v>20016</v>
      </c>
      <c r="C24" s="1" t="str">
        <f t="shared" si="0"/>
        <v>Monday</v>
      </c>
      <c r="D24" s="11" t="str">
        <f t="shared" si="2"/>
        <v>0</v>
      </c>
      <c r="E24" s="1" t="str">
        <f t="shared" si="3"/>
        <v>Sunday</v>
      </c>
      <c r="F24" s="1">
        <f t="shared" si="4"/>
        <v>24</v>
      </c>
    </row>
    <row r="25" spans="1:6" x14ac:dyDescent="0.3">
      <c r="A25" s="7" t="s">
        <v>130</v>
      </c>
      <c r="B25" s="11" t="str">
        <f t="shared" si="1"/>
        <v>20018</v>
      </c>
      <c r="C25" s="1" t="str">
        <f t="shared" si="0"/>
        <v>Monday</v>
      </c>
      <c r="D25" s="11" t="str">
        <f t="shared" si="2"/>
        <v>0</v>
      </c>
      <c r="E25" s="1" t="str">
        <f t="shared" si="3"/>
        <v>Sunday</v>
      </c>
      <c r="F25" s="1">
        <f t="shared" si="4"/>
        <v>24</v>
      </c>
    </row>
    <row r="26" spans="1:6" x14ac:dyDescent="0.3">
      <c r="A26" s="7" t="s">
        <v>131</v>
      </c>
      <c r="B26" s="11" t="str">
        <f t="shared" si="1"/>
        <v>20020</v>
      </c>
      <c r="C26" s="1" t="str">
        <f t="shared" si="0"/>
        <v>Monday</v>
      </c>
      <c r="D26" s="11" t="str">
        <f t="shared" si="2"/>
        <v>0</v>
      </c>
      <c r="E26" s="1" t="str">
        <f t="shared" si="3"/>
        <v>Sunday</v>
      </c>
      <c r="F26" s="1">
        <f t="shared" si="4"/>
        <v>24</v>
      </c>
    </row>
    <row r="27" spans="1:6" x14ac:dyDescent="0.3">
      <c r="A27" s="7" t="s">
        <v>132</v>
      </c>
      <c r="B27" s="11" t="str">
        <f t="shared" si="1"/>
        <v>20022</v>
      </c>
      <c r="C27" s="1" t="str">
        <f t="shared" si="0"/>
        <v>Monday</v>
      </c>
      <c r="D27" s="11" t="str">
        <f t="shared" si="2"/>
        <v>0</v>
      </c>
      <c r="E27" s="1" t="str">
        <f t="shared" si="3"/>
        <v>Sunday</v>
      </c>
      <c r="F27" s="1">
        <f t="shared" si="4"/>
        <v>24</v>
      </c>
    </row>
    <row r="28" spans="1:6" x14ac:dyDescent="0.3">
      <c r="A28" s="7" t="s">
        <v>133</v>
      </c>
      <c r="B28" s="11" t="str">
        <f t="shared" si="1"/>
        <v>20024</v>
      </c>
      <c r="C28" s="1" t="str">
        <f t="shared" si="0"/>
        <v>Monday</v>
      </c>
      <c r="D28" s="11" t="str">
        <f t="shared" si="2"/>
        <v>0</v>
      </c>
      <c r="E28" s="1" t="str">
        <f t="shared" si="3"/>
        <v>Sunday</v>
      </c>
      <c r="F28" s="1">
        <f t="shared" si="4"/>
        <v>24</v>
      </c>
    </row>
    <row r="29" spans="1:6" x14ac:dyDescent="0.3">
      <c r="A29" s="7" t="s">
        <v>134</v>
      </c>
      <c r="B29" s="11" t="str">
        <f t="shared" si="1"/>
        <v>20026</v>
      </c>
      <c r="C29" s="1" t="str">
        <f t="shared" si="0"/>
        <v>Monday</v>
      </c>
      <c r="D29" s="11" t="str">
        <f t="shared" si="2"/>
        <v>0</v>
      </c>
      <c r="E29" s="1" t="str">
        <f t="shared" si="3"/>
        <v>Sunday</v>
      </c>
      <c r="F29" s="1">
        <f t="shared" si="4"/>
        <v>24</v>
      </c>
    </row>
    <row r="30" spans="1:6" x14ac:dyDescent="0.3">
      <c r="A30" s="7" t="s">
        <v>135</v>
      </c>
      <c r="B30" s="11" t="str">
        <f t="shared" si="1"/>
        <v>20028</v>
      </c>
      <c r="C30" s="1" t="str">
        <f t="shared" si="0"/>
        <v>Monday</v>
      </c>
      <c r="D30" s="11" t="str">
        <f t="shared" si="2"/>
        <v>0</v>
      </c>
      <c r="E30" s="1" t="str">
        <f t="shared" si="3"/>
        <v>Sunday</v>
      </c>
      <c r="F30" s="1">
        <f t="shared" si="4"/>
        <v>24</v>
      </c>
    </row>
    <row r="31" spans="1:6" x14ac:dyDescent="0.3">
      <c r="A31" s="7" t="s">
        <v>136</v>
      </c>
      <c r="B31" s="11" t="str">
        <f t="shared" si="1"/>
        <v>20030</v>
      </c>
      <c r="C31" s="1" t="str">
        <f t="shared" si="0"/>
        <v>Monday</v>
      </c>
      <c r="D31" s="11" t="str">
        <f t="shared" si="2"/>
        <v>0</v>
      </c>
      <c r="E31" s="1" t="str">
        <f t="shared" si="3"/>
        <v>Sunday</v>
      </c>
      <c r="F31" s="1">
        <f t="shared" si="4"/>
        <v>24</v>
      </c>
    </row>
    <row r="32" spans="1:6" x14ac:dyDescent="0.3">
      <c r="A32" s="7" t="s">
        <v>137</v>
      </c>
      <c r="B32" s="11" t="str">
        <f t="shared" si="1"/>
        <v>20032</v>
      </c>
      <c r="C32" s="1" t="str">
        <f t="shared" si="0"/>
        <v>Monday</v>
      </c>
      <c r="D32" s="11" t="str">
        <f t="shared" si="2"/>
        <v>0</v>
      </c>
      <c r="E32" s="1" t="str">
        <f t="shared" si="3"/>
        <v>Sunday</v>
      </c>
      <c r="F32" s="1">
        <f t="shared" si="4"/>
        <v>24</v>
      </c>
    </row>
    <row r="33" spans="1:6" x14ac:dyDescent="0.3">
      <c r="A33" s="7" t="s">
        <v>138</v>
      </c>
      <c r="B33" s="11" t="str">
        <f t="shared" si="1"/>
        <v>20034</v>
      </c>
      <c r="C33" s="1" t="str">
        <f t="shared" si="0"/>
        <v>Monday</v>
      </c>
      <c r="D33" s="11" t="str">
        <f t="shared" si="2"/>
        <v>0</v>
      </c>
      <c r="E33" s="1" t="str">
        <f t="shared" si="3"/>
        <v>Sunday</v>
      </c>
      <c r="F33" s="1">
        <f t="shared" si="4"/>
        <v>24</v>
      </c>
    </row>
    <row r="34" spans="1:6" x14ac:dyDescent="0.3">
      <c r="A34" s="7" t="s">
        <v>139</v>
      </c>
      <c r="B34" s="11" t="str">
        <f t="shared" si="1"/>
        <v>20036</v>
      </c>
      <c r="C34" s="1" t="str">
        <f t="shared" si="0"/>
        <v>Monday</v>
      </c>
      <c r="D34" s="11" t="str">
        <f t="shared" si="2"/>
        <v>0</v>
      </c>
      <c r="E34" s="1" t="str">
        <f t="shared" si="3"/>
        <v>Sunday</v>
      </c>
      <c r="F34" s="1">
        <f t="shared" si="4"/>
        <v>24</v>
      </c>
    </row>
    <row r="35" spans="1:6" x14ac:dyDescent="0.3">
      <c r="A35" s="7" t="s">
        <v>140</v>
      </c>
      <c r="B35" s="11" t="str">
        <f t="shared" si="1"/>
        <v>20038</v>
      </c>
      <c r="C35" s="1" t="str">
        <f t="shared" si="0"/>
        <v>Monday</v>
      </c>
      <c r="D35" s="11" t="str">
        <f t="shared" si="2"/>
        <v>0</v>
      </c>
      <c r="E35" s="1" t="str">
        <f t="shared" si="3"/>
        <v>Sunday</v>
      </c>
      <c r="F35" s="1">
        <f t="shared" si="4"/>
        <v>24</v>
      </c>
    </row>
    <row r="36" spans="1:6" x14ac:dyDescent="0.3">
      <c r="A36" s="7" t="s">
        <v>141</v>
      </c>
      <c r="B36" s="11" t="str">
        <f t="shared" si="1"/>
        <v>20040</v>
      </c>
      <c r="C36" s="1" t="str">
        <f t="shared" si="0"/>
        <v>Monday</v>
      </c>
      <c r="D36" s="11" t="str">
        <f t="shared" si="2"/>
        <v>0</v>
      </c>
      <c r="E36" s="1" t="str">
        <f t="shared" si="3"/>
        <v>Sunday</v>
      </c>
      <c r="F36" s="1">
        <f t="shared" si="4"/>
        <v>24</v>
      </c>
    </row>
    <row r="37" spans="1:6" x14ac:dyDescent="0.3">
      <c r="A37" s="7" t="s">
        <v>142</v>
      </c>
      <c r="B37" s="11" t="str">
        <f t="shared" si="1"/>
        <v>20042</v>
      </c>
      <c r="C37" s="1" t="str">
        <f t="shared" si="0"/>
        <v>Monday</v>
      </c>
      <c r="D37" s="11" t="str">
        <f t="shared" si="2"/>
        <v>0</v>
      </c>
      <c r="E37" s="1" t="str">
        <f t="shared" si="3"/>
        <v>Sunday</v>
      </c>
      <c r="F37" s="1">
        <f t="shared" si="4"/>
        <v>24</v>
      </c>
    </row>
    <row r="38" spans="1:6" x14ac:dyDescent="0.3">
      <c r="A38" s="7" t="s">
        <v>143</v>
      </c>
      <c r="B38" s="11" t="str">
        <f t="shared" si="1"/>
        <v>20044</v>
      </c>
      <c r="C38" s="1" t="str">
        <f t="shared" si="0"/>
        <v>Monday</v>
      </c>
      <c r="D38" s="11" t="str">
        <f t="shared" si="2"/>
        <v>0</v>
      </c>
      <c r="E38" s="1" t="str">
        <f t="shared" si="3"/>
        <v>Sunday</v>
      </c>
      <c r="F38" s="1">
        <f t="shared" si="4"/>
        <v>24</v>
      </c>
    </row>
    <row r="39" spans="1:6" x14ac:dyDescent="0.3">
      <c r="A39" s="7" t="s">
        <v>144</v>
      </c>
      <c r="B39" s="11" t="str">
        <f t="shared" si="1"/>
        <v>20046</v>
      </c>
      <c r="C39" s="1" t="str">
        <f t="shared" si="0"/>
        <v>Monday</v>
      </c>
      <c r="D39" s="11" t="str">
        <f t="shared" si="2"/>
        <v>0</v>
      </c>
      <c r="E39" s="1" t="str">
        <f t="shared" si="3"/>
        <v>Sunday</v>
      </c>
      <c r="F39" s="1">
        <f t="shared" si="4"/>
        <v>24</v>
      </c>
    </row>
    <row r="40" spans="1:6" x14ac:dyDescent="0.3">
      <c r="A40" s="7" t="s">
        <v>145</v>
      </c>
      <c r="B40" s="11" t="str">
        <f t="shared" si="1"/>
        <v>20048</v>
      </c>
      <c r="C40" s="1" t="str">
        <f t="shared" si="0"/>
        <v>Monday</v>
      </c>
      <c r="D40" s="11" t="str">
        <f t="shared" si="2"/>
        <v>0</v>
      </c>
      <c r="E40" s="1" t="str">
        <f t="shared" si="3"/>
        <v>Sunday</v>
      </c>
      <c r="F40" s="1">
        <f t="shared" si="4"/>
        <v>24</v>
      </c>
    </row>
    <row r="41" spans="1:6" x14ac:dyDescent="0.3">
      <c r="A41" s="7" t="s">
        <v>146</v>
      </c>
      <c r="B41" s="11" t="str">
        <f t="shared" si="1"/>
        <v>20050</v>
      </c>
      <c r="C41" s="1" t="str">
        <f t="shared" si="0"/>
        <v>Monday</v>
      </c>
      <c r="D41" s="11" t="str">
        <f t="shared" si="2"/>
        <v>0</v>
      </c>
      <c r="E41" s="1" t="str">
        <f t="shared" si="3"/>
        <v>Sunday</v>
      </c>
      <c r="F41" s="1">
        <f t="shared" si="4"/>
        <v>24</v>
      </c>
    </row>
    <row r="42" spans="1:6" x14ac:dyDescent="0.3">
      <c r="A42" s="7" t="s">
        <v>147</v>
      </c>
      <c r="B42" s="11" t="str">
        <f t="shared" si="1"/>
        <v>20052</v>
      </c>
      <c r="C42" s="1" t="str">
        <f t="shared" si="0"/>
        <v>Monday</v>
      </c>
      <c r="D42" s="11" t="str">
        <f t="shared" si="2"/>
        <v>0</v>
      </c>
      <c r="E42" s="1" t="str">
        <f t="shared" si="3"/>
        <v>Sunday</v>
      </c>
      <c r="F42" s="1">
        <f t="shared" si="4"/>
        <v>24</v>
      </c>
    </row>
    <row r="43" spans="1:6" x14ac:dyDescent="0.3">
      <c r="A43" s="7" t="s">
        <v>148</v>
      </c>
      <c r="B43" s="11" t="str">
        <f t="shared" si="1"/>
        <v>20054</v>
      </c>
      <c r="C43" s="1" t="str">
        <f t="shared" si="0"/>
        <v>Monday</v>
      </c>
      <c r="D43" s="11" t="str">
        <f t="shared" si="2"/>
        <v>0</v>
      </c>
      <c r="E43" s="1" t="str">
        <f t="shared" si="3"/>
        <v>Sunday</v>
      </c>
      <c r="F43" s="1">
        <f t="shared" si="4"/>
        <v>24</v>
      </c>
    </row>
    <row r="44" spans="1:6" x14ac:dyDescent="0.3">
      <c r="A44" s="7" t="s">
        <v>149</v>
      </c>
      <c r="B44" s="11" t="str">
        <f t="shared" si="1"/>
        <v>20058</v>
      </c>
      <c r="C44" s="1" t="str">
        <f t="shared" si="0"/>
        <v>Monday</v>
      </c>
      <c r="D44" s="11" t="str">
        <f t="shared" si="2"/>
        <v>0</v>
      </c>
      <c r="E44" s="1" t="str">
        <f t="shared" si="3"/>
        <v>Sunday</v>
      </c>
      <c r="F44" s="1">
        <f t="shared" si="4"/>
        <v>24</v>
      </c>
    </row>
    <row r="45" spans="1:6" x14ac:dyDescent="0.3">
      <c r="A45" s="7" t="s">
        <v>150</v>
      </c>
      <c r="B45" s="11" t="str">
        <f t="shared" si="1"/>
        <v>20060</v>
      </c>
      <c r="C45" s="1" t="str">
        <f t="shared" si="0"/>
        <v>Monday</v>
      </c>
      <c r="D45" s="11" t="str">
        <f t="shared" si="2"/>
        <v>0</v>
      </c>
      <c r="E45" s="1" t="str">
        <f t="shared" si="3"/>
        <v>Sunday</v>
      </c>
      <c r="F45" s="1">
        <f t="shared" si="4"/>
        <v>24</v>
      </c>
    </row>
    <row r="46" spans="1:6" x14ac:dyDescent="0.3">
      <c r="A46" s="7" t="s">
        <v>112</v>
      </c>
      <c r="B46" s="11" t="str">
        <f t="shared" si="1"/>
        <v>21000</v>
      </c>
      <c r="C46" s="1" t="str">
        <f t="shared" si="0"/>
        <v>Monday</v>
      </c>
      <c r="D46" s="11" t="str">
        <f t="shared" si="2"/>
        <v>0</v>
      </c>
      <c r="E46" s="1" t="str">
        <f t="shared" si="3"/>
        <v>Sunday</v>
      </c>
      <c r="F46" s="1">
        <f t="shared" si="4"/>
        <v>24</v>
      </c>
    </row>
    <row r="47" spans="1:6" x14ac:dyDescent="0.3">
      <c r="A47" s="7" t="s">
        <v>113</v>
      </c>
      <c r="B47" s="11" t="str">
        <f t="shared" si="1"/>
        <v>21002</v>
      </c>
      <c r="C47" s="1" t="str">
        <f t="shared" si="0"/>
        <v>Monday</v>
      </c>
      <c r="D47" s="11" t="str">
        <f t="shared" si="2"/>
        <v>0</v>
      </c>
      <c r="E47" s="1" t="str">
        <f t="shared" si="3"/>
        <v>Sunday</v>
      </c>
      <c r="F47" s="1">
        <f t="shared" si="4"/>
        <v>24</v>
      </c>
    </row>
    <row r="48" spans="1:6" x14ac:dyDescent="0.3">
      <c r="A48" s="7" t="s">
        <v>114</v>
      </c>
      <c r="B48" s="11" t="str">
        <f t="shared" si="1"/>
        <v>21004</v>
      </c>
      <c r="C48" s="1" t="str">
        <f t="shared" si="0"/>
        <v>Monday</v>
      </c>
      <c r="D48" s="11" t="str">
        <f t="shared" si="2"/>
        <v>0</v>
      </c>
      <c r="E48" s="1" t="str">
        <f t="shared" si="3"/>
        <v>Sunday</v>
      </c>
      <c r="F48" s="1">
        <f t="shared" si="4"/>
        <v>24</v>
      </c>
    </row>
    <row r="49" spans="1:6" x14ac:dyDescent="0.3">
      <c r="A49" s="7" t="s">
        <v>115</v>
      </c>
      <c r="B49" s="11" t="str">
        <f t="shared" si="1"/>
        <v>21006</v>
      </c>
      <c r="C49" s="1" t="str">
        <f t="shared" si="0"/>
        <v>Monday</v>
      </c>
      <c r="D49" s="11" t="str">
        <f t="shared" si="2"/>
        <v>0</v>
      </c>
      <c r="E49" s="1" t="str">
        <f t="shared" si="3"/>
        <v>Sunday</v>
      </c>
      <c r="F49" s="1">
        <f t="shared" si="4"/>
        <v>24</v>
      </c>
    </row>
    <row r="50" spans="1:6" x14ac:dyDescent="0.3">
      <c r="A50" s="7" t="s">
        <v>116</v>
      </c>
      <c r="B50" s="11" t="str">
        <f t="shared" si="1"/>
        <v>21008</v>
      </c>
      <c r="C50" s="1" t="str">
        <f t="shared" si="0"/>
        <v>Monday</v>
      </c>
      <c r="D50" s="11" t="str">
        <f t="shared" si="2"/>
        <v>0</v>
      </c>
      <c r="E50" s="1" t="str">
        <f t="shared" si="3"/>
        <v>Sunday</v>
      </c>
      <c r="F50" s="1">
        <f t="shared" si="4"/>
        <v>24</v>
      </c>
    </row>
    <row r="51" spans="1:6" x14ac:dyDescent="0.3">
      <c r="A51" s="7" t="s">
        <v>117</v>
      </c>
      <c r="B51" s="11" t="str">
        <f t="shared" si="1"/>
        <v>21010</v>
      </c>
      <c r="C51" s="1" t="str">
        <f t="shared" si="0"/>
        <v>Monday</v>
      </c>
      <c r="D51" s="11" t="str">
        <f t="shared" si="2"/>
        <v>0</v>
      </c>
      <c r="E51" s="1" t="str">
        <f t="shared" si="3"/>
        <v>Sunday</v>
      </c>
      <c r="F51" s="1">
        <f t="shared" si="4"/>
        <v>24</v>
      </c>
    </row>
    <row r="52" spans="1:6" x14ac:dyDescent="0.3">
      <c r="A52" s="7" t="s">
        <v>118</v>
      </c>
      <c r="B52" s="11" t="str">
        <f t="shared" si="1"/>
        <v>21012</v>
      </c>
      <c r="C52" s="1" t="str">
        <f t="shared" si="0"/>
        <v>Monday</v>
      </c>
      <c r="D52" s="11" t="str">
        <f t="shared" si="2"/>
        <v>0</v>
      </c>
      <c r="E52" s="1" t="str">
        <f t="shared" si="3"/>
        <v>Sunday</v>
      </c>
      <c r="F52" s="1">
        <f t="shared" si="4"/>
        <v>24</v>
      </c>
    </row>
    <row r="53" spans="1:6" x14ac:dyDescent="0.3">
      <c r="A53" s="7" t="s">
        <v>119</v>
      </c>
      <c r="B53" s="11" t="str">
        <f t="shared" si="1"/>
        <v>21014</v>
      </c>
      <c r="C53" s="1" t="str">
        <f t="shared" si="0"/>
        <v>Monday</v>
      </c>
      <c r="D53" s="11" t="str">
        <f t="shared" si="2"/>
        <v>0</v>
      </c>
      <c r="E53" s="1" t="str">
        <f t="shared" si="3"/>
        <v>Sunday</v>
      </c>
      <c r="F53" s="1">
        <f t="shared" si="4"/>
        <v>24</v>
      </c>
    </row>
    <row r="54" spans="1:6" x14ac:dyDescent="0.3">
      <c r="A54" s="9" t="s">
        <v>120</v>
      </c>
      <c r="B54" s="11" t="str">
        <f t="shared" si="1"/>
        <v>21016</v>
      </c>
      <c r="C54" s="1" t="str">
        <f t="shared" si="0"/>
        <v>Monday</v>
      </c>
      <c r="D54" s="11" t="str">
        <f t="shared" si="2"/>
        <v>0</v>
      </c>
      <c r="E54" s="1" t="str">
        <f t="shared" si="3"/>
        <v>Sunday</v>
      </c>
      <c r="F54" s="1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23" sqref="D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167</v>
      </c>
    </row>
    <row r="2" spans="1:4" ht="18" x14ac:dyDescent="0.35">
      <c r="B2" s="39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/>
    </row>
    <row r="10" spans="1:4" ht="23.4" x14ac:dyDescent="0.45">
      <c r="A10" s="17" t="s">
        <v>162</v>
      </c>
    </row>
    <row r="11" spans="1:4" ht="14.4" x14ac:dyDescent="0.3">
      <c r="A11" s="31" t="s">
        <v>86</v>
      </c>
      <c r="B11" s="16" t="s">
        <v>87</v>
      </c>
      <c r="C11" s="16" t="s">
        <v>88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">
        <f>_xlfn.IFNA(C12,20)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">
        <f t="shared" ref="D13:D22" si="0">_xlfn.IFNA(C13,20)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4.4" x14ac:dyDescent="0.3">
      <c r="B22" s="16" t="s">
        <v>159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16" sqref="B1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  <c r="C24" s="43"/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PAVAN M</cp:lastModifiedBy>
  <dcterms:created xsi:type="dcterms:W3CDTF">2015-02-10T17:33:11Z</dcterms:created>
  <dcterms:modified xsi:type="dcterms:W3CDTF">2023-12-10T17:21:17Z</dcterms:modified>
</cp:coreProperties>
</file>